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utufi-my.sharepoint.com/personal/nisine_utu_fi/Documents/Koulu/Tietotekniikka/Harjoitustyö/"/>
    </mc:Choice>
  </mc:AlternateContent>
  <xr:revisionPtr revIDLastSave="65" documentId="11_F25DC773A252ABDACC10483FA95C7D745BDE58EC" xr6:coauthVersionLast="47" xr6:coauthVersionMax="47" xr10:uidLastSave="{0869DB38-0BCD-4C24-8257-E08B2CB2A4E9}"/>
  <bookViews>
    <workbookView xWindow="19500" yWindow="990" windowWidth="12870" windowHeight="187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H4" i="1"/>
  <c r="C6" i="1"/>
  <c r="D6" i="1"/>
  <c r="C4" i="1"/>
  <c r="C18" i="1"/>
  <c r="B18" i="1"/>
  <c r="G4" i="1"/>
  <c r="C7" i="1" s="1" a="1"/>
  <c r="C7" i="1" s="1"/>
  <c r="D5" i="1"/>
  <c r="D18" i="1"/>
  <c r="D19" i="1" l="1"/>
  <c r="C19" i="1"/>
  <c r="C8" i="1" a="1"/>
  <c r="C8" i="1" s="1"/>
  <c r="C20" i="1" l="1"/>
  <c r="D2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<sst xmlns="http://schemas.openxmlformats.org/spreadsheetml/2006/main" count="16" uniqueCount="13">
  <si>
    <t>GAME</t>
  </si>
  <si>
    <t>H</t>
  </si>
  <si>
    <t>W</t>
  </si>
  <si>
    <t>bg_char_creating</t>
  </si>
  <si>
    <t>hitbox</t>
  </si>
  <si>
    <t>CHARACTER_SIZE</t>
  </si>
  <si>
    <t>Others</t>
  </si>
  <si>
    <t>Scalar</t>
  </si>
  <si>
    <t>char_surface</t>
  </si>
  <si>
    <t>x</t>
  </si>
  <si>
    <t>y</t>
  </si>
  <si>
    <t>scaled</t>
  </si>
  <si>
    <t>mult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</si>
</sst>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0"/>
  <sheetViews>
    <sheetView tabSelected="1" topLeftCell="A13" workbookViewId="0">
      <selection activeCell="B23" sqref="B23"/>
    </sheetView>
  </sheetViews>
  <sheetFormatPr defaultRowHeight="15" x14ac:dyDescent="0.25"/>
  <cols>
    <col min="2" max="2" width="19.5703125" customWidth="1"/>
  </cols>
  <sheetData>
    <row r="2" spans="2:8" x14ac:dyDescent="0.25">
      <c r="C2" t="s">
        <v>2</v>
      </c>
      <c r="D2" t="s">
        <v>1</v>
      </c>
      <c r="F2" t="s">
        <v>6</v>
      </c>
    </row>
    <row r="3" spans="2:8" x14ac:dyDescent="0.25">
      <c r="B3" t="s">
        <v>0</v>
      </c>
      <c r="C3">
        <v>540</v>
      </c>
      <c r="D3">
        <v>960</v>
      </c>
    </row>
    <row r="4" spans="2:8" x14ac:dyDescent="0.25">
      <c r="B4" t="s">
        <v>3</v>
      </c>
      <c r="C4">
        <f>C3/3</f>
        <v>180</v>
      </c>
      <c r="D4">
        <f>C4*H5/G5</f>
        <v>360</v>
      </c>
      <c r="F4" t="s">
        <v>7</v>
      </c>
      <c r="G4" s="1">
        <f t="shared" ref="G4:H4" si="0">C4/C6</f>
        <v>4.5</v>
      </c>
      <c r="H4" s="1">
        <f t="shared" si="0"/>
        <v>4.5</v>
      </c>
    </row>
    <row r="5" spans="2:8" x14ac:dyDescent="0.25">
      <c r="B5" t="s">
        <v>5</v>
      </c>
      <c r="C5">
        <v>24</v>
      </c>
      <c r="D5">
        <f>C5*2</f>
        <v>48</v>
      </c>
      <c r="F5" t="s">
        <v>8</v>
      </c>
      <c r="G5">
        <v>8</v>
      </c>
      <c r="H5">
        <v>16</v>
      </c>
    </row>
    <row r="6" spans="2:8" x14ac:dyDescent="0.25">
      <c r="B6" t="s">
        <v>8</v>
      </c>
      <c r="C6">
        <f t="shared" ref="C6:D6" si="1">$G$6*G5</f>
        <v>40</v>
      </c>
      <c r="D6">
        <f t="shared" si="1"/>
        <v>80</v>
      </c>
      <c r="F6" t="s">
        <v>12</v>
      </c>
      <c r="G6">
        <v>5</v>
      </c>
    </row>
    <row r="7" spans="2:8" x14ac:dyDescent="0.25">
      <c r="B7" t="s">
        <v>4</v>
      </c>
      <c r="C7" cm="1">
        <f t="array" ref="C7:D7">C5:D5*G4</f>
        <v>108</v>
      </c>
      <c r="D7">
        <v>216</v>
      </c>
    </row>
    <row r="8" spans="2:8" x14ac:dyDescent="0.25">
      <c r="B8" t="s">
        <v>11</v>
      </c>
      <c r="C8" cm="1">
        <f t="array" ref="C8:D8">_xlfn.ANCHORARRAY(C7)/G4:H4</f>
        <v>24</v>
      </c>
      <c r="D8">
        <v>48</v>
      </c>
    </row>
    <row r="17" spans="2:4" x14ac:dyDescent="0.25">
      <c r="C17" t="s">
        <v>9</v>
      </c>
      <c r="D17" t="s">
        <v>10</v>
      </c>
    </row>
    <row r="18" spans="2:4" x14ac:dyDescent="0.25">
      <c r="B18" t="str">
        <f>B4</f>
        <v>bg_char_creating</v>
      </c>
      <c r="C18">
        <f>C4/1.5</f>
        <v>120</v>
      </c>
      <c r="D18">
        <f>D3/2-D4/2</f>
        <v>300</v>
      </c>
    </row>
    <row r="19" spans="2:4" x14ac:dyDescent="0.25">
      <c r="B19" t="s">
        <v>4</v>
      </c>
      <c r="C19">
        <f>C18+C4/2+C7/2</f>
        <v>264</v>
      </c>
      <c r="D19">
        <f>D18+D4-D7</f>
        <v>444</v>
      </c>
    </row>
    <row r="20" spans="2:4" x14ac:dyDescent="0.25">
      <c r="B20" t="s">
        <v>11</v>
      </c>
      <c r="C20">
        <f>(C19+C7/2-C18)/G4-C8/2</f>
        <v>32</v>
      </c>
      <c r="D20">
        <f>(D19+D7/2-D18)/H4-D8/2</f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Nikolai Sinenko</dc:creator>
  <cp:lastModifiedBy>Nikolai Sinenko</cp:lastModifiedBy>
  <dcterms:created xsi:type="dcterms:W3CDTF">2015-06-05T18:17:20Z</dcterms:created>
  <dcterms:modified xsi:type="dcterms:W3CDTF">2026-04-26T10:24:42Z</dcterms:modified>
</cp:coreProperties>
</file>